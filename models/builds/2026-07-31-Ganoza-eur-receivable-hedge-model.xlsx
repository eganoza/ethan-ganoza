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Legend" sheetId="2" state="visible" r:id="rId2"/>
    <sheet name="Inputs" sheetId="3" state="visible" r:id="rId3"/>
    <sheet name="Forwards" sheetId="4" state="visible" r:id="rId4"/>
    <sheet name="MoneyMarket" sheetId="5" state="visible" r:id="rId5"/>
    <sheet name="Options" sheetId="6" state="visible" r:id="rId6"/>
    <sheet name="Sensitivity" sheetId="7" state="visible" r:id="rId7"/>
    <sheet name="Checks" sheetId="8" state="visible" r:id="rId8"/>
    <sheet name="Notes" sheetId="9" state="visible" r:id="rId9"/>
  </sheets>
  <definedNames>
    <definedName name="FC_AMT">'Inputs'!B2</definedName>
    <definedName name="S0_in">'Inputs'!B3</definedName>
    <definedName name="F0_in">'Inputs'!B4</definedName>
    <definedName name="R_USD">'Inputs'!B5</definedName>
    <definedName name="R_FC">'Inputs'!B6</definedName>
    <definedName name="K_PUT">'Inputs'!B7</definedName>
    <definedName name="K_CALL">'Inputs'!B8</definedName>
    <definedName name="PREM_PUT">'Inputs'!B9</definedName>
    <definedName name="PREM_CALL">'Inputs'!B10</definedName>
    <definedName name="T_DAYS">'Inputs'!B11</definedName>
    <definedName name="FORW_PROCEEDS">'Forwards'!B6</definedName>
    <definedName name="MM_PROCEEDS">'MoneyMarket'!B13</definedName>
    <definedName name="PUT_PROCEEDS_NET">'Options'!B6</definedName>
    <definedName name="CALL_PROCEEDS_NET">'Options'!B10</definedName>
    <definedName name="PARITY_CHECK">'Checks'!B6</definedName>
    <definedName name="CHECK_TOLERANCE">'Checks'!B7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Net USD Proceeds vs S_T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'Sensitivity'!$B$2:$B$13</f>
            </numRef>
          </cat>
          <val>
            <numRef>
              <f>'Sensitivity'!$C$2:$C$13</f>
            </numRef>
          </val>
        </ser>
        <ser>
          <idx val="1"/>
          <order val="1"/>
          <tx>
            <strRef>
              <f>'Sensitivity'!D1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'Sensitivity'!$B$2:$B$13</f>
            </numRef>
          </cat>
          <val>
            <numRef>
              <f>'Sensitivity'!$D$2:$D$13</f>
            </numRef>
          </val>
        </ser>
        <ser>
          <idx val="2"/>
          <order val="2"/>
          <tx>
            <strRef>
              <f>'Sensitivity'!E1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'Sensitivity'!$B$2:$B$13</f>
            </numRef>
          </cat>
          <val>
            <numRef>
              <f>'Sensitivity'!$E$2:$E$13</f>
            </numRef>
          </val>
        </ser>
        <ser>
          <idx val="3"/>
          <order val="3"/>
          <tx>
            <strRef>
              <f>'Sensitivity'!F1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'Sensitivity'!$B$2:$B$13</f>
            </numRef>
          </cat>
          <val>
            <numRef>
              <f>'Sensitivity'!$F$2:$F$13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S_T (USD per 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Proceeds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FX Hedging Analysis: EUR Receivable</t>
        </is>
      </c>
    </row>
    <row r="3">
      <c r="A3" s="1" t="inlineStr">
        <is>
          <t>Scenario:</t>
        </is>
      </c>
      <c r="B3" t="inlineStr">
        <is>
          <t>EUR receivable due 2027-07-31</t>
        </is>
      </c>
    </row>
    <row r="4">
      <c r="A4" s="1" t="inlineStr">
        <is>
          <t>Author:</t>
        </is>
      </c>
      <c r="B4" t="inlineStr">
        <is>
          <t>Ethan Kainalu Ganoza</t>
        </is>
      </c>
    </row>
    <row r="5">
      <c r="A5" s="1" t="inlineStr">
        <is>
          <t>Date:</t>
        </is>
      </c>
      <c r="B5" t="inlineStr">
        <is>
          <t>2026-08-07</t>
        </is>
      </c>
    </row>
    <row r="7">
      <c r="A7" s="2" t="inlineStr">
        <is>
          <t>Data Provenance</t>
        </is>
      </c>
    </row>
    <row r="8">
      <c r="A8" t="inlineStr">
        <is>
          <t>Spot Rate (S0_in):</t>
        </is>
      </c>
      <c r="B8" t="inlineStr">
        <is>
          <t>ECB (placeholder)</t>
        </is>
      </c>
    </row>
    <row r="9">
      <c r="A9" t="inlineStr">
        <is>
          <t>Forward Rate (F0_in):</t>
        </is>
      </c>
      <c r="B9" t="inlineStr">
        <is>
          <t>Market forwards (parity-implied, placeholder)</t>
        </is>
      </c>
    </row>
    <row r="10">
      <c r="A10" t="inlineStr">
        <is>
          <t>Interest Rates (R_USD, R_FC):</t>
        </is>
      </c>
      <c r="B10" t="inlineStr">
        <is>
          <t>Fed H.15 / ECB (placeholder)</t>
        </is>
      </c>
    </row>
    <row r="11">
      <c r="A11" t="inlineStr">
        <is>
          <t>Option Premiums:</t>
        </is>
      </c>
      <c r="B11" t="inlineStr">
        <is>
          <t>Vendor TBD (placeholder)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Color Convention</t>
        </is>
      </c>
    </row>
    <row r="3">
      <c r="A3" s="3" t="inlineStr">
        <is>
          <t>Yellow</t>
        </is>
      </c>
      <c r="B3" t="inlineStr">
        <is>
          <t>Input values (user-supplied, may change)</t>
        </is>
      </c>
    </row>
    <row r="4">
      <c r="A4" s="4" t="inlineStr">
        <is>
          <t>Blue</t>
        </is>
      </c>
      <c r="B4" t="inlineStr">
        <is>
          <t>Assumptions (scenario-dependent constants)</t>
        </is>
      </c>
    </row>
    <row r="5">
      <c r="A5" s="5" t="inlineStr">
        <is>
          <t>Green</t>
        </is>
      </c>
      <c r="B5" t="inlineStr">
        <is>
          <t>Formulas (calculated from inputs &amp; assumptions)</t>
        </is>
      </c>
    </row>
    <row r="6">
      <c r="A6" s="6" t="inlineStr">
        <is>
          <t>Gray</t>
        </is>
      </c>
      <c r="B6" t="inlineStr">
        <is>
          <t>Summary outputs (final results)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2" t="inlineStr">
        <is>
          <t>Input Parameter</t>
        </is>
      </c>
      <c r="B1" s="2" t="inlineStr">
        <is>
          <t>Value</t>
        </is>
      </c>
      <c r="C1" s="2" t="inlineStr">
        <is>
          <t>Unit</t>
        </is>
      </c>
    </row>
    <row r="2">
      <c r="A2" s="1" t="inlineStr">
        <is>
          <t>FC_AMT</t>
        </is>
      </c>
      <c r="B2" s="3" t="n">
        <v>4500000</v>
      </c>
      <c r="C2" s="7" t="inlineStr">
        <is>
          <t>EUR</t>
        </is>
      </c>
    </row>
    <row r="3">
      <c r="A3" s="1" t="inlineStr">
        <is>
          <t>S0_in</t>
        </is>
      </c>
      <c r="B3" s="3" t="n">
        <v>1.1</v>
      </c>
      <c r="C3" s="7" t="inlineStr">
        <is>
          <t>USD per EUR</t>
        </is>
      </c>
    </row>
    <row r="4">
      <c r="A4" s="1" t="inlineStr">
        <is>
          <t>F0_in</t>
        </is>
      </c>
      <c r="B4" s="3" t="n">
        <v>1.1194</v>
      </c>
      <c r="C4" s="7" t="inlineStr">
        <is>
          <t>USD per EUR</t>
        </is>
      </c>
    </row>
    <row r="5">
      <c r="A5" s="1" t="inlineStr">
        <is>
          <t>R_USD</t>
        </is>
      </c>
      <c r="B5" s="3" t="n">
        <v>0.035</v>
      </c>
      <c r="C5" s="7" t="inlineStr">
        <is>
          <t>decimal (3.5% annual)</t>
        </is>
      </c>
    </row>
    <row r="6">
      <c r="A6" s="1" t="inlineStr">
        <is>
          <t>R_FC</t>
        </is>
      </c>
      <c r="B6" s="3" t="n">
        <v>0.015</v>
      </c>
      <c r="C6" s="7" t="inlineStr">
        <is>
          <t>decimal (1.5% annual)</t>
        </is>
      </c>
    </row>
    <row r="7">
      <c r="A7" s="1" t="inlineStr">
        <is>
          <t>K_PUT</t>
        </is>
      </c>
      <c r="B7" s="3" t="n">
        <v>1</v>
      </c>
      <c r="C7" s="7" t="inlineStr">
        <is>
          <t>USD per EUR</t>
        </is>
      </c>
    </row>
    <row r="8">
      <c r="A8" s="1" t="inlineStr">
        <is>
          <t>K_CALL</t>
        </is>
      </c>
      <c r="B8" s="3" t="n">
        <v>1.2</v>
      </c>
      <c r="C8" s="7" t="inlineStr">
        <is>
          <t>USD per EUR</t>
        </is>
      </c>
    </row>
    <row r="9">
      <c r="A9" s="1" t="inlineStr">
        <is>
          <t>PREM_PUT</t>
        </is>
      </c>
      <c r="B9" s="3" t="n">
        <v>0.02</v>
      </c>
      <c r="C9" s="7" t="inlineStr">
        <is>
          <t>USD per EUR</t>
        </is>
      </c>
    </row>
    <row r="10">
      <c r="A10" s="1" t="inlineStr">
        <is>
          <t>PREM_CALL</t>
        </is>
      </c>
      <c r="B10" s="3" t="n">
        <v>0.02</v>
      </c>
      <c r="C10" s="7" t="inlineStr">
        <is>
          <t>USD per EUR</t>
        </is>
      </c>
    </row>
    <row r="11">
      <c r="A11" s="1" t="inlineStr">
        <is>
          <t>T_DAYS</t>
        </is>
      </c>
      <c r="B11" s="3" t="n">
        <v>365</v>
      </c>
      <c r="C11" s="7" t="inlineStr">
        <is>
          <t>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Forward Contract Analysis</t>
        </is>
      </c>
    </row>
    <row r="3">
      <c r="A3" s="1" t="inlineStr">
        <is>
          <t>Forward Rate (F0_in)</t>
        </is>
      </c>
      <c r="B3" s="5">
        <f>F0_in</f>
        <v/>
      </c>
    </row>
    <row r="4">
      <c r="A4" s="1" t="inlineStr">
        <is>
          <t>FC Amount (FC_AMT)</t>
        </is>
      </c>
      <c r="B4" s="5">
        <f>FC_AMT</f>
        <v/>
      </c>
    </row>
    <row r="6">
      <c r="A6" s="1" t="inlineStr">
        <is>
          <t>Forward Proceeds (USD)</t>
        </is>
      </c>
      <c r="B6" s="6">
        <f>FC_AMT*F0_in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Money Market Hedge Analysis</t>
        </is>
      </c>
    </row>
    <row r="3">
      <c r="A3" s="1" t="inlineStr">
        <is>
          <t>Step 1: Borrow EUR</t>
        </is>
      </c>
    </row>
    <row r="4">
      <c r="A4" s="1" t="inlineStr">
        <is>
          <t>Formula</t>
        </is>
      </c>
      <c r="B4" t="inlineStr">
        <is>
          <t>MM_BORROW = FC_AMT / (1 + R_FC × T_DAYS/360)</t>
        </is>
      </c>
    </row>
    <row r="5">
      <c r="A5" s="1" t="inlineStr">
        <is>
          <t>MM_BORROW (EUR)</t>
        </is>
      </c>
      <c r="B5" s="5">
        <f>FC_AMT/(1+R_FC*T_DAYS/360)</f>
        <v/>
      </c>
    </row>
    <row r="7">
      <c r="A7" s="1" t="inlineStr">
        <is>
          <t>Step 2: Convert at Spot</t>
        </is>
      </c>
    </row>
    <row r="8">
      <c r="A8" s="1" t="inlineStr">
        <is>
          <t>Formula</t>
        </is>
      </c>
      <c r="B8" t="inlineStr">
        <is>
          <t>MM_USD_NOW = MM_BORROW × S0_in</t>
        </is>
      </c>
    </row>
    <row r="9">
      <c r="A9" s="1" t="inlineStr">
        <is>
          <t>MM_USD_NOW (USD)</t>
        </is>
      </c>
      <c r="B9" s="5">
        <f>B5*S0_in</f>
        <v/>
      </c>
    </row>
    <row r="11">
      <c r="A11" s="1" t="inlineStr">
        <is>
          <t>Step 3: Invest USD</t>
        </is>
      </c>
    </row>
    <row r="12">
      <c r="A12" s="1" t="inlineStr">
        <is>
          <t>Formula</t>
        </is>
      </c>
      <c r="B12" t="inlineStr">
        <is>
          <t>MM_PROCEEDS = MM_USD_NOW × (1 + R_USD × T_DAYS/360)</t>
        </is>
      </c>
    </row>
    <row r="13">
      <c r="A13" s="1" t="inlineStr">
        <is>
          <t>MM_PROCEEDS (USD)</t>
        </is>
      </c>
      <c r="B13" s="6">
        <f>B9*(1+R_USD*T_DAYS/360)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Option Payoffs Analysis</t>
        </is>
      </c>
    </row>
    <row r="3">
      <c r="A3" s="1" t="inlineStr">
        <is>
          <t>At S0_in (Current Spot)</t>
        </is>
      </c>
    </row>
    <row r="4">
      <c r="A4" s="1" t="inlineStr">
        <is>
          <t>Put Payoff</t>
        </is>
      </c>
      <c r="B4" s="5">
        <f>FC_AMT*MAX(S0_in,K_PUT)</f>
        <v/>
      </c>
    </row>
    <row r="5">
      <c r="A5" s="1" t="inlineStr">
        <is>
          <t>Put Premium Cost (USD)</t>
        </is>
      </c>
      <c r="B5" s="5">
        <f>FC_AMT*PREM_PUT</f>
        <v/>
      </c>
    </row>
    <row r="6">
      <c r="A6" s="1" t="inlineStr">
        <is>
          <t>Put Net Proceeds (USD)</t>
        </is>
      </c>
      <c r="B6" s="6">
        <f>B4-B5</f>
        <v/>
      </c>
    </row>
    <row r="8">
      <c r="A8" s="1" t="inlineStr">
        <is>
          <t>Call Payoff</t>
        </is>
      </c>
      <c r="B8" s="5">
        <f>FC_AMT*MAX(S0_in,K_CALL)</f>
        <v/>
      </c>
    </row>
    <row r="9">
      <c r="A9" s="1" t="inlineStr">
        <is>
          <t>Call Premium Cost (USD)</t>
        </is>
      </c>
      <c r="B9" s="5">
        <f>FC_AMT*PREM_CALL</f>
        <v/>
      </c>
    </row>
    <row r="10">
      <c r="A10" s="1" t="inlineStr">
        <is>
          <t>Call Net Proceeds (USD)</t>
        </is>
      </c>
      <c r="B10" s="6">
        <f>B8-B9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pct_change</t>
        </is>
      </c>
      <c r="B1" s="2" t="inlineStr">
        <is>
          <t>S_T</t>
        </is>
      </c>
      <c r="C1" s="2" t="inlineStr">
        <is>
          <t>Forward</t>
        </is>
      </c>
      <c r="D1" s="2" t="inlineStr">
        <is>
          <t>MoneyMarket</t>
        </is>
      </c>
      <c r="E1" s="2" t="inlineStr">
        <is>
          <t>Put</t>
        </is>
      </c>
      <c r="F1" s="2" t="inlineStr">
        <is>
          <t>Call</t>
        </is>
      </c>
    </row>
    <row r="2">
      <c r="A2" s="4" t="n">
        <v>-0.05</v>
      </c>
      <c r="B2" s="5">
        <f>S0_in*(1+A2)</f>
        <v/>
      </c>
      <c r="C2" s="5">
        <f>FORW_PROCEEDS</f>
        <v/>
      </c>
      <c r="D2" s="5">
        <f>MM_PROCEEDS</f>
        <v/>
      </c>
      <c r="E2" s="5">
        <f>FC_AMT*MAX(B2,K_PUT)-FC_AMT*PREM_PUT</f>
        <v/>
      </c>
      <c r="F2" s="5">
        <f>FC_AMT*MAX(B2,K_CALL)-FC_AMT*PREM_CALL</f>
        <v/>
      </c>
    </row>
    <row r="3">
      <c r="A3" s="4" t="n">
        <v>-0.04</v>
      </c>
      <c r="B3" s="5">
        <f>S0_in*(1+A3)</f>
        <v/>
      </c>
      <c r="C3" s="5">
        <f>FORW_PROCEEDS</f>
        <v/>
      </c>
      <c r="D3" s="5">
        <f>MM_PROCEEDS</f>
        <v/>
      </c>
      <c r="E3" s="5">
        <f>FC_AMT*MAX(B3,K_PUT)-FC_AMT*PREM_PUT</f>
        <v/>
      </c>
      <c r="F3" s="5">
        <f>FC_AMT*MAX(B3,K_CALL)-FC_AMT*PREM_CALL</f>
        <v/>
      </c>
    </row>
    <row r="4">
      <c r="A4" s="4" t="n">
        <v>-0.03</v>
      </c>
      <c r="B4" s="5">
        <f>S0_in*(1+A4)</f>
        <v/>
      </c>
      <c r="C4" s="5">
        <f>FORW_PROCEEDS</f>
        <v/>
      </c>
      <c r="D4" s="5">
        <f>MM_PROCEEDS</f>
        <v/>
      </c>
      <c r="E4" s="5">
        <f>FC_AMT*MAX(B4,K_PUT)-FC_AMT*PREM_PUT</f>
        <v/>
      </c>
      <c r="F4" s="5">
        <f>FC_AMT*MAX(B4,K_CALL)-FC_AMT*PREM_CALL</f>
        <v/>
      </c>
    </row>
    <row r="5">
      <c r="A5" s="4" t="n">
        <v>-0.02</v>
      </c>
      <c r="B5" s="5">
        <f>S0_in*(1+A5)</f>
        <v/>
      </c>
      <c r="C5" s="5">
        <f>FORW_PROCEEDS</f>
        <v/>
      </c>
      <c r="D5" s="5">
        <f>MM_PROCEEDS</f>
        <v/>
      </c>
      <c r="E5" s="5">
        <f>FC_AMT*MAX(B5,K_PUT)-FC_AMT*PREM_PUT</f>
        <v/>
      </c>
      <c r="F5" s="5">
        <f>FC_AMT*MAX(B5,K_CALL)-FC_AMT*PREM_CALL</f>
        <v/>
      </c>
    </row>
    <row r="6">
      <c r="A6" s="4" t="n">
        <v>-0.01</v>
      </c>
      <c r="B6" s="5">
        <f>S0_in*(1+A6)</f>
        <v/>
      </c>
      <c r="C6" s="5">
        <f>FORW_PROCEEDS</f>
        <v/>
      </c>
      <c r="D6" s="5">
        <f>MM_PROCEEDS</f>
        <v/>
      </c>
      <c r="E6" s="5">
        <f>FC_AMT*MAX(B6,K_PUT)-FC_AMT*PREM_PUT</f>
        <v/>
      </c>
      <c r="F6" s="5">
        <f>FC_AMT*MAX(B6,K_CALL)-FC_AMT*PREM_CALL</f>
        <v/>
      </c>
    </row>
    <row r="7">
      <c r="A7" s="4" t="n">
        <v>0</v>
      </c>
      <c r="B7" s="5">
        <f>S0_in*(1+A7)</f>
        <v/>
      </c>
      <c r="C7" s="5">
        <f>FORW_PROCEEDS</f>
        <v/>
      </c>
      <c r="D7" s="5">
        <f>MM_PROCEEDS</f>
        <v/>
      </c>
      <c r="E7" s="5">
        <f>FC_AMT*MAX(B7,K_PUT)-FC_AMT*PREM_PUT</f>
        <v/>
      </c>
      <c r="F7" s="5">
        <f>FC_AMT*MAX(B7,K_CALL)-FC_AMT*PREM_CALL</f>
        <v/>
      </c>
    </row>
    <row r="8">
      <c r="A8" s="4" t="n">
        <v>0.01</v>
      </c>
      <c r="B8" s="5">
        <f>S0_in*(1+A8)</f>
        <v/>
      </c>
      <c r="C8" s="5">
        <f>FORW_PROCEEDS</f>
        <v/>
      </c>
      <c r="D8" s="5">
        <f>MM_PROCEEDS</f>
        <v/>
      </c>
      <c r="E8" s="5">
        <f>FC_AMT*MAX(B8,K_PUT)-FC_AMT*PREM_PUT</f>
        <v/>
      </c>
      <c r="F8" s="5">
        <f>FC_AMT*MAX(B8,K_CALL)-FC_AMT*PREM_CALL</f>
        <v/>
      </c>
    </row>
    <row r="9">
      <c r="A9" s="4" t="n">
        <v>0.02</v>
      </c>
      <c r="B9" s="5">
        <f>S0_in*(1+A9)</f>
        <v/>
      </c>
      <c r="C9" s="5">
        <f>FORW_PROCEEDS</f>
        <v/>
      </c>
      <c r="D9" s="5">
        <f>MM_PROCEEDS</f>
        <v/>
      </c>
      <c r="E9" s="5">
        <f>FC_AMT*MAX(B9,K_PUT)-FC_AMT*PREM_PUT</f>
        <v/>
      </c>
      <c r="F9" s="5">
        <f>FC_AMT*MAX(B9,K_CALL)-FC_AMT*PREM_CALL</f>
        <v/>
      </c>
    </row>
    <row r="10">
      <c r="A10" s="4" t="n">
        <v>0.03</v>
      </c>
      <c r="B10" s="5">
        <f>S0_in*(1+A10)</f>
        <v/>
      </c>
      <c r="C10" s="5">
        <f>FORW_PROCEEDS</f>
        <v/>
      </c>
      <c r="D10" s="5">
        <f>MM_PROCEEDS</f>
        <v/>
      </c>
      <c r="E10" s="5">
        <f>FC_AMT*MAX(B10,K_PUT)-FC_AMT*PREM_PUT</f>
        <v/>
      </c>
      <c r="F10" s="5">
        <f>FC_AMT*MAX(B10,K_CALL)-FC_AMT*PREM_CALL</f>
        <v/>
      </c>
    </row>
    <row r="11">
      <c r="A11" s="4" t="n">
        <v>0.04</v>
      </c>
      <c r="B11" s="5">
        <f>S0_in*(1+A11)</f>
        <v/>
      </c>
      <c r="C11" s="5">
        <f>FORW_PROCEEDS</f>
        <v/>
      </c>
      <c r="D11" s="5">
        <f>MM_PROCEEDS</f>
        <v/>
      </c>
      <c r="E11" s="5">
        <f>FC_AMT*MAX(B11,K_PUT)-FC_AMT*PREM_PUT</f>
        <v/>
      </c>
      <c r="F11" s="5">
        <f>FC_AMT*MAX(B11,K_CALL)-FC_AMT*PREM_CALL</f>
        <v/>
      </c>
    </row>
    <row r="12">
      <c r="A12" s="4" t="n">
        <v>0.05</v>
      </c>
      <c r="B12" s="5">
        <f>S0_in*(1+A12)</f>
        <v/>
      </c>
      <c r="C12" s="5">
        <f>FORW_PROCEEDS</f>
        <v/>
      </c>
      <c r="D12" s="5">
        <f>MM_PROCEEDS</f>
        <v/>
      </c>
      <c r="E12" s="5">
        <f>FC_AMT*MAX(B12,K_PUT)-FC_AMT*PREM_PUT</f>
        <v/>
      </c>
      <c r="F12" s="5">
        <f>FC_AMT*MAX(B12,K_CALL)-FC_AMT*PREM_CALL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Validation Checks</t>
        </is>
      </c>
    </row>
    <row r="3">
      <c r="A3" s="1" t="inlineStr">
        <is>
          <t>Parity Check</t>
        </is>
      </c>
    </row>
    <row r="4">
      <c r="A4" s="1" t="inlineStr">
        <is>
          <t>Description:</t>
        </is>
      </c>
      <c r="B4" t="inlineStr">
        <is>
          <t>Forward vs Money Market proceeds should match (within tolerance)</t>
        </is>
      </c>
    </row>
    <row r="5">
      <c r="A5" s="1" t="inlineStr">
        <is>
          <t>Implied Forward Rate</t>
        </is>
      </c>
      <c r="B5" s="5">
        <f>S0_in*(1+R_USD*T_DAYS/360)/(1+R_FC*T_DAYS/360)</f>
        <v/>
      </c>
    </row>
    <row r="6">
      <c r="A6" s="1" t="inlineStr">
        <is>
          <t>Parity Check (USD difference)</t>
        </is>
      </c>
      <c r="B6" s="5">
        <f>FORW_PROCEEDS-MM_PROCEEDS</f>
        <v/>
      </c>
    </row>
    <row r="7">
      <c r="A7" s="1" t="inlineStr">
        <is>
          <t>Tolerance (0.01 × FC_AMT)</t>
        </is>
      </c>
      <c r="B7" s="4">
        <f>0.01*FC_AMT</f>
        <v/>
      </c>
    </row>
    <row r="8">
      <c r="A8" s="1" t="inlineStr">
        <is>
          <t>Parity Passes?</t>
        </is>
      </c>
      <c r="B8" s="5">
        <f>IF(ABS(B6)&lt;=B7,"PASS","FAIL")</f>
        <v/>
      </c>
    </row>
    <row r="10">
      <c r="A10" s="1" t="inlineStr">
        <is>
          <t>Formula Checks</t>
        </is>
      </c>
    </row>
    <row r="11">
      <c r="A11" s="1" t="inlineStr">
        <is>
          <t>FORW_PROCEEDS is formula?</t>
        </is>
      </c>
      <c r="B11" s="5">
        <f>IF(ISFORMULA(Forwards!B6),"YES","NO")</f>
        <v/>
      </c>
    </row>
    <row r="12">
      <c r="A12" s="1" t="inlineStr">
        <is>
          <t>MM_PROCEEDS is formula?</t>
        </is>
      </c>
      <c r="B12" s="5">
        <f>IF(ISFORMULA(MoneyMarket!B13),"YES","NO")</f>
        <v/>
      </c>
    </row>
    <row r="13">
      <c r="A13" s="1" t="inlineStr">
        <is>
          <t>PUT_PROCEEDS_NET is formula?</t>
        </is>
      </c>
      <c r="B13" s="5">
        <f>IF(ISFORMULA(Options!B6),"YES","NO")</f>
        <v/>
      </c>
    </row>
    <row r="14">
      <c r="A14" s="1" t="inlineStr">
        <is>
          <t>CALL_PROCEEDS_NET is formula?</t>
        </is>
      </c>
      <c r="B14" s="5">
        <f>IF(ISFORMULA(Options!B10),"YES","NO")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Assumptions and Data Provenance</t>
        </is>
      </c>
    </row>
    <row r="3">
      <c r="A3" t="inlineStr">
        <is>
          <t>Rate Basis: ACT/360</t>
        </is>
      </c>
    </row>
    <row r="4">
      <c r="A4" t="inlineStr">
        <is>
          <t>Interest compounding: Simple interest over settlement period (T_DAYS/360)</t>
        </is>
      </c>
    </row>
    <row r="5">
      <c r="A5" t="inlineStr">
        <is>
          <t>Premiums: Upfront cash costs in USD, deducted from net proceeds</t>
        </is>
      </c>
    </row>
    <row r="7">
      <c r="A7" s="2" t="inlineStr">
        <is>
          <t>Data Sources (Placeholder)</t>
        </is>
      </c>
    </row>
    <row r="8">
      <c r="A8" t="inlineStr">
        <is>
          <t>- Spot Rate (S0_in): ECB (European Central Bank)</t>
        </is>
      </c>
    </row>
    <row r="9">
      <c r="A9" t="inlineStr">
        <is>
          <t>- Forward Rate (F0_in): Parity-implied from interest rates (see Checks tab)</t>
        </is>
      </c>
    </row>
    <row r="10">
      <c r="A10" t="inlineStr">
        <is>
          <t>- Interest Rates (R_USD, R_FC): Fed H.15 (USD), ECB (EUR)</t>
        </is>
      </c>
    </row>
    <row r="11">
      <c r="A11" t="inlineStr">
        <is>
          <t>- Option Premiums: Vendor TBD (Bloomberg, Reuters, or OTC broker)</t>
        </is>
      </c>
    </row>
    <row r="13">
      <c r="A13" s="2" t="inlineStr">
        <is>
          <t>Specification Reference</t>
        </is>
      </c>
    </row>
    <row r="14">
      <c r="A14" t="inlineStr">
        <is>
          <t>docs/specs/2026-07-31-Ganoza-eur-receivable-hedge-spec.md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2026-08-08T03:54:08Z</dcterms:created>
  <dcterms:modified xsi:type="dcterms:W3CDTF">2026-08-08T03:54:08Z</dcterms:modified>
</cp:coreProperties>
</file>