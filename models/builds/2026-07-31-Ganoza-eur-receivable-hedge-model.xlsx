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cb0b92fa5346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6bbe9b10be414440"/>
    <x:sheet xmlns:r="http://schemas.openxmlformats.org/officeDocument/2006/relationships" name="Legend" sheetId="2" r:id="R0a3b9d2ec5804e46"/>
    <x:sheet xmlns:r="http://schemas.openxmlformats.org/officeDocument/2006/relationships" name="Inputs" sheetId="3" r:id="Rcde75dc800f64967"/>
    <x:sheet xmlns:r="http://schemas.openxmlformats.org/officeDocument/2006/relationships" name="Forwards" sheetId="4" r:id="R0518c2dc918f4c0a"/>
    <x:sheet xmlns:r="http://schemas.openxmlformats.org/officeDocument/2006/relationships" name="MoneyMarket" sheetId="5" r:id="R9b2941e80705460e"/>
    <x:sheet xmlns:r="http://schemas.openxmlformats.org/officeDocument/2006/relationships" name="Options" sheetId="6" r:id="Rc3eef09108a94324"/>
    <x:sheet xmlns:r="http://schemas.openxmlformats.org/officeDocument/2006/relationships" name="Sensitivity" sheetId="7" r:id="R82471ca4e16b417d"/>
    <x:sheet xmlns:r="http://schemas.openxmlformats.org/officeDocument/2006/relationships" name="Checks" sheetId="8" r:id="R209c3f60f47c4b43"/>
    <x:sheet xmlns:r="http://schemas.openxmlformats.org/officeDocument/2006/relationships" name="Notes" sheetId="9" r:id="R8ae8c72078424f6b"/>
  </x:sheets>
  <x:definedNames>
    <x:definedName name="FC_AMT">'Inputs'!B2</x:definedName>
    <x:definedName name="S0_in">'Inputs'!B3</x:definedName>
    <x:definedName name="F0_in">'Inputs'!B4</x:definedName>
    <x:definedName name="R_USD">'Inputs'!B5</x:definedName>
    <x:definedName name="R_FC">'Inputs'!B6</x:definedName>
    <x:definedName name="K_PUT">'Inputs'!B7</x:definedName>
    <x:definedName name="K_CALL">'Inputs'!B8</x:definedName>
    <x:definedName name="PREM_PUT">'Inputs'!B9</x:definedName>
    <x:definedName name="PREM_CALL">'Inputs'!B10</x:definedName>
    <x:definedName name="T_DAYS">'Inputs'!B11</x:definedName>
    <x:definedName name="FORW_PROCEEDS">'Forwards'!B6</x:definedName>
    <x:definedName name="MM_PROCEEDS">'MoneyMarket'!B13</x:definedName>
    <x:definedName name="PUT_PROCEEDS_NET">'Options'!B6</x:definedName>
    <x:definedName name="CALL_PAYABLE_COST">'Options'!B10</x:definedName>
    <x:definedName name="USD_NO_HEDGE">'Sensitivity'!C8</x:definedName>
    <x:definedName name="PARITY_CHECK">'Checks'!B5</x:definedName>
    <x:definedName name="CHECK_TOLERANCE">'Checks'!B6</x:definedName>
    <x:definedName name="FORW_MM_PROCEEDS_DIFF">'Checks'!B8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000"/>
    <x:numFmt numFmtId="202" formatCode="0.0%"/>
    <x:numFmt numFmtId="203" formatCode="$#,##0;[Red]($#,##0);-"/>
  </x:numFmts>
  <x:fonts count="3">
    <x:font>
      <x:sz val="11"/>
      <x:name val="Carlito"/>
    </x:font>
    <x:font>
      <x:b/>
      <x:sz val="14"/>
      <x:name val="Carlito"/>
    </x:font>
    <x:font>
      <x:b/>
      <x:sz val="11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B7DEE8"/>
      </x:patternFill>
    </x:fill>
    <x:fill>
      <x:patternFill patternType="solid">
        <x:fgColor rgb="FFFFF200"/>
      </x:patternFill>
    </x:fill>
    <x:fill>
      <x:patternFill patternType="solid">
        <x:fgColor rgb="FF92D050"/>
      </x:patternFill>
    </x:fill>
    <x:fill>
      <x:patternFill patternType="solid">
        <x:fgColor rgb="FFD9D9D9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666666"/>
      </x:left>
      <x:right style="thin">
        <x:color rgb="FF666666"/>
      </x:right>
      <x:top style="thin">
        <x:color rgb="FF666666"/>
      </x:top>
      <x:bottom style="thin">
        <x:color rgb="FF666666"/>
      </x:bottom>
    </x:border>
  </x:borders>
  <x:cellStyleXfs count="1">
    <x:xf numFmtId="0" fontId="0" fillId="0" borderId="0"/>
  </x:cellStyleXfs>
  <x:cellXfs count="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0" fillId="0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3" borderId="1" xfId="0" applyNumberFormat="1" applyFont="1" applyFill="1" applyBorder="1"/>
    <x:xf numFmtId="0" fontId="0" fillId="2" borderId="1" xfId="0" applyNumberFormat="1" applyFont="1" applyFill="1" applyBorder="1"/>
    <x:xf numFmtId="0" fontId="0" fillId="4" borderId="1" xfId="0" applyNumberFormat="1" applyFont="1" applyFill="1" applyBorder="1"/>
    <x:xf numFmtId="0" fontId="0" fillId="5" borderId="1" xfId="0" applyNumberFormat="1" applyFont="1" applyFill="1" applyBorder="1"/>
    <x:xf numFmtId="0" fontId="0" fillId="3" borderId="1" xfId="0" applyNumberFormat="1" applyFont="1" applyFill="1" applyBorder="1" applyAlignment="1">
      <x:alignment wrapText="1"/>
    </x:xf>
    <x:xf numFmtId="0" fontId="0" fillId="2" borderId="1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200" fontId="0" fillId="3" borderId="0" xfId="0" applyNumberFormat="1" applyFont="1" applyFill="1" applyBorder="1"/>
    <x:xf numFmtId="201" fontId="0" fillId="3" borderId="0" xfId="0" applyNumberFormat="1" applyFont="1" applyFill="1" applyBorder="1"/>
    <x:xf numFmtId="202" fontId="0" fillId="3" borderId="0" xfId="0" applyNumberFormat="1" applyFont="1" applyFill="1" applyBorder="1"/>
    <x:xf numFmtId="0" fontId="2" fillId="0" borderId="1" xfId="0" applyNumberFormat="1" applyFont="1" applyFill="1" applyBorder="1"/>
    <x:xf numFmtId="200" fontId="0" fillId="3" borderId="1" xfId="0" applyNumberFormat="1" applyFont="1" applyFill="1" applyBorder="1"/>
    <x:xf numFmtId="201" fontId="0" fillId="3" borderId="1" xfId="0" applyNumberFormat="1" applyFont="1" applyFill="1" applyBorder="1"/>
    <x:xf numFmtId="202" fontId="0" fillId="3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200" fontId="0" fillId="3" borderId="1" xfId="0" applyNumberFormat="1" applyFont="1" applyFill="1" applyBorder="1" applyAlignment="1">
      <x:alignment wrapText="1"/>
    </x:xf>
    <x:xf numFmtId="201" fontId="0" fillId="3" borderId="1" xfId="0" applyNumberFormat="1" applyFont="1" applyFill="1" applyBorder="1" applyAlignment="1">
      <x:alignment wrapText="1"/>
    </x:xf>
    <x:xf numFmtId="202" fontId="0" fillId="3" borderId="1" xfId="0" applyNumberFormat="1" applyFont="1" applyFill="1" applyBorder="1" applyAlignment="1">
      <x:alignment wrapText="1"/>
    </x:xf>
    <x:xf numFmtId="201" fontId="0" fillId="4" borderId="0" xfId="0" applyNumberFormat="1" applyFont="1" applyFill="1" applyBorder="1"/>
    <x:xf numFmtId="203" fontId="0" fillId="4" borderId="0" xfId="0" applyNumberFormat="1" applyFont="1" applyFill="1" applyBorder="1"/>
    <x:xf numFmtId="203" fontId="0" fillId="0" borderId="0" xfId="0" applyNumberFormat="1" applyFont="1" applyFill="1" applyBorder="1"/>
    <x:xf numFmtId="203" fontId="0" fillId="5" borderId="0" xfId="0" applyNumberFormat="1" applyFont="1" applyFill="1" applyBorder="1"/>
    <x:xf numFmtId="201" fontId="0" fillId="4" borderId="1" xfId="0" applyNumberFormat="1" applyFont="1" applyFill="1" applyBorder="1"/>
    <x:xf numFmtId="203" fontId="0" fillId="4" borderId="1" xfId="0" applyNumberFormat="1" applyFont="1" applyFill="1" applyBorder="1"/>
    <x:xf numFmtId="203" fontId="0" fillId="0" borderId="1" xfId="0" applyNumberFormat="1" applyFont="1" applyFill="1" applyBorder="1"/>
    <x:xf numFmtId="203" fontId="0" fillId="5" borderId="1" xfId="0" applyNumberFormat="1" applyFont="1" applyFill="1" applyBorder="1"/>
    <x:xf numFmtId="202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0" fillId="6" borderId="1" xfId="0" applyNumberFormat="1" applyFont="1" applyFill="1" applyBorder="1" applyAlignment="1">
      <x:alignment wrapText="1"/>
    </x:xf>
    <x:xf numFmtId="0" fontId="2" fillId="6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4f05188727430a" /><Relationship Type="http://schemas.openxmlformats.org/officeDocument/2006/relationships/theme" Target="/xl/theme/theme1.xml" Id="R87b96fb8901b42b8" /><Relationship Type="http://schemas.openxmlformats.org/officeDocument/2006/relationships/sharedStrings" Target="/xl/sharedStrings.xml" Id="Rc3890928696a48c2" /><Relationship Type="http://schemas.openxmlformats.org/officeDocument/2006/relationships/worksheet" Target="/xl/worksheets/sheet1.xml" Id="R6bbe9b10be414440" /><Relationship Type="http://schemas.openxmlformats.org/officeDocument/2006/relationships/worksheet" Target="/xl/worksheets/sheet2.xml" Id="R0a3b9d2ec5804e46" /><Relationship Type="http://schemas.openxmlformats.org/officeDocument/2006/relationships/worksheet" Target="/xl/worksheets/sheet3.xml" Id="Rcde75dc800f64967" /><Relationship Type="http://schemas.openxmlformats.org/officeDocument/2006/relationships/worksheet" Target="/xl/worksheets/sheet4.xml" Id="R0518c2dc918f4c0a" /><Relationship Type="http://schemas.openxmlformats.org/officeDocument/2006/relationships/worksheet" Target="/xl/worksheets/sheet5.xml" Id="R9b2941e80705460e" /><Relationship Type="http://schemas.openxmlformats.org/officeDocument/2006/relationships/worksheet" Target="/xl/worksheets/sheet6.xml" Id="Rc3eef09108a94324" /><Relationship Type="http://schemas.openxmlformats.org/officeDocument/2006/relationships/worksheet" Target="/xl/worksheets/sheet7.xml" Id="R82471ca4e16b417d" /><Relationship Type="http://schemas.openxmlformats.org/officeDocument/2006/relationships/worksheet" Target="/xl/worksheets/sheet8.xml" Id="R209c3f60f47c4b43" /><Relationship Type="http://schemas.openxmlformats.org/officeDocument/2006/relationships/worksheet" Target="/xl/worksheets/sheet9.xml" Id="R8ae8c72078424f6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97e9f6fe46a4e8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USD Proceeds by EUR/USD Settlement Rate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No Hedge</c:v>
          </c:tx>
          <c:marker>
            <c:symbol val="none"/>
          </c:marker>
          <c:cat>
            <c:strRef>
              <c:f>'Sensitivity'!$B$3:$B$13</c:f>
              <c:strCache>
                <c:ptCount val="0"/>
              </c:strCache>
            </c:strRef>
          </c:cat>
          <c:val>
            <c:numRef>
              <c:f>'Sensitivity'!$C$3:$C$13</c:f>
              <c:numCache>
                <c:formatCode>$#,##0;[Red]($#,##0);-</c:formatCode>
                <c:ptCount val="0"/>
              </c:numCache>
            </c:numRef>
          </c:val>
          <c:smooth val="0"/>
        </c:ser>
        <c:ser>
          <c:idx val="1"/>
          <c:order val="1"/>
          <c:tx>
            <c:v>Forward</c:v>
          </c:tx>
          <c:marker>
            <c:symbol val="none"/>
          </c:marker>
          <c:cat>
            <c:strRef>
              <c:f>'Sensitivity'!$B$3:$B$13</c:f>
              <c:strCache>
                <c:ptCount val="0"/>
              </c:strCache>
            </c:strRef>
          </c:cat>
          <c:val>
            <c:numRef>
              <c:f>'Sensitivity'!$D$3:$D$13</c:f>
              <c:numCache>
                <c:formatCode>$#,##0;[Red]($#,##0);-</c:formatCode>
                <c:ptCount val="0"/>
              </c:numCache>
            </c:numRef>
          </c:val>
          <c:smooth val="0"/>
        </c:ser>
        <c:ser>
          <c:idx val="2"/>
          <c:order val="2"/>
          <c:tx>
            <c:v>Money Market</c:v>
          </c:tx>
          <c:marker>
            <c:symbol val="none"/>
          </c:marker>
          <c:cat>
            <c:strRef>
              <c:f>'Sensitivity'!$B$3:$B$13</c:f>
              <c:strCache>
                <c:ptCount val="0"/>
              </c:strCache>
            </c:strRef>
          </c:cat>
          <c:val>
            <c:numRef>
              <c:f>'Sensitivity'!$E$3:$E$13</c:f>
              <c:numCache>
                <c:formatCode>$#,##0;[Red]($#,##0);-</c:formatCode>
                <c:ptCount val="0"/>
              </c:numCache>
            </c:numRef>
          </c:val>
          <c:smooth val="0"/>
        </c:ser>
        <c:ser>
          <c:idx val="3"/>
          <c:order val="3"/>
          <c:tx>
            <c:v>Put</c:v>
          </c:tx>
          <c:marker>
            <c:symbol val="none"/>
          </c:marker>
          <c:cat>
            <c:strRef>
              <c:f>'Sensitivity'!$B$3:$B$13</c:f>
              <c:strCache>
                <c:ptCount val="0"/>
              </c:strCache>
            </c:strRef>
          </c:cat>
          <c:val>
            <c:numRef>
              <c:f>'Sensitivity'!$F$3:$F$13</c:f>
              <c:numCache>
                <c:formatCode>$#,##0;[Red]($#,##0);-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S_T (USD per EUR)</a:t>
                </a:r>
              </a:p>
            </c:rich>
          </c:tx>
          <c:overlay val="0"/>
        </c:title>
        <c:numFmt formatCode="0.000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USD proceeds</a:t>
                </a:r>
              </a:p>
            </c:rich>
          </c:tx>
          <c:overlay val="0"/>
        </c:title>
        <c:numFmt formatCode="$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15</xdr:row>
      <xdr:rowOff>0</xdr:rowOff>
    </xdr:from>
    <xdr:to>
      <xdr:col>10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97e9f6fe46a4e8f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4d70a8a1028f471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779998779296875" hidden="0" customWidth="1"/>
    <x:col min="2" max="2" width="43.88999938964844" hidden="0" customWidth="1"/>
  </x:cols>
  <x:sheetData>
    <x:row r="1" ht="16.799999237060547" hidden="0" customHeight="1">
      <x:c r="A1" s="8" t="str">
        <x:v>FX Hedging Analysis: EUR Receivable</x:v>
      </x:c>
      <x:c r="B1" s="8"/>
      <x:c r="C1" s="4"/>
      <x:c r="D1" s="4"/>
    </x:row>
    <x:row r="2" ht="15" hidden="0" customHeight="1">
      <x:c r="A2" s="9"/>
      <x:c r="B2" s="9"/>
    </x:row>
    <x:row r="3" ht="15" hidden="0" customHeight="1">
      <x:c r="A3" s="10" t="str">
        <x:v>Scenario:</x:v>
      </x:c>
      <x:c r="B3" s="10" t="str">
        <x:v>EUR receivable due 2027-07-31</x:v>
      </x:c>
    </x:row>
    <x:row r="4" ht="15" hidden="0" customHeight="1">
      <x:c r="A4" s="10" t="str">
        <x:v>Author:</x:v>
      </x:c>
      <x:c r="B4" s="10" t="str">
        <x:v>Ethan Kainalu Ganoza</x:v>
      </x:c>
    </x:row>
    <x:row r="5" ht="15" hidden="0" customHeight="1">
      <x:c r="A5" s="10" t="str">
        <x:v>Date:</x:v>
      </x:c>
      <x:c r="B5" s="10" t="str">
        <x:v>2026-08-07</x:v>
      </x:c>
    </x:row>
    <x:row r="6" ht="15" hidden="0" customHeight="1">
      <x:c r="A6" s="9"/>
      <x:c r="B6" s="9"/>
    </x:row>
    <x:row r="7" ht="15" hidden="0" customHeight="1">
      <x:c r="A7" s="11" t="str">
        <x:v>Data Provenance</x:v>
      </x:c>
      <x:c r="B7" s="10"/>
    </x:row>
    <x:row r="8" ht="15" hidden="0" customHeight="1">
      <x:c r="A8" s="10" t="str">
        <x:v>Spot Rate (S0_in):</x:v>
      </x:c>
      <x:c r="B8" s="10" t="str">
        <x:v>ECB (placeholder)</x:v>
      </x:c>
    </x:row>
    <x:row r="9" ht="15" hidden="0" customHeight="1">
      <x:c r="A9" s="10" t="str">
        <x:v>Forward Rate (F0_in):</x:v>
      </x:c>
      <x:c r="B9" s="10" t="str">
        <x:v>Parity-implied placeholder; dealer quote required in Stage 4</x:v>
      </x:c>
    </x:row>
    <x:row r="10" ht="15" hidden="0" customHeight="1">
      <x:c r="A10" s="10" t="str">
        <x:v>Interest Rates (R_USD, R_FC):</x:v>
      </x:c>
      <x:c r="B10" s="10" t="str">
        <x:v>Fed H.15 / ECB (placeholder)</x:v>
      </x:c>
    </x:row>
    <x:row r="11" ht="15" hidden="0" customHeight="1">
      <x:c r="A11" s="10" t="str">
        <x:v>Option Premiums:</x:v>
      </x:c>
      <x:c r="B11" s="10" t="str">
        <x:v>Vendor TBD (placeholder)</x:v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780000686645508" hidden="0" customWidth="1"/>
    <x:col min="2" max="2" width="37.66999816894531" hidden="0" customWidth="1"/>
  </x:cols>
  <x:sheetData>
    <x:row r="1" ht="16.799999237060547" hidden="0" customHeight="1">
      <x:c r="A1" s="8" t="str">
        <x:v>Color Convention</x:v>
      </x:c>
      <x:c r="B1" s="8"/>
    </x:row>
    <x:row r="2" ht="15" hidden="0" customHeight="1">
      <x:c r="A2" s="9"/>
      <x:c r="B2" s="9"/>
    </x:row>
    <x:row r="3" ht="15" hidden="0" customHeight="1">
      <x:c r="A3" s="19" t="str">
        <x:v>Yellow</x:v>
      </x:c>
      <x:c r="B3" s="10" t="str">
        <x:v>Input values (user-supplied; may change)</x:v>
      </x:c>
    </x:row>
    <x:row r="4" ht="15" hidden="0" customHeight="1">
      <x:c r="A4" s="20" t="str">
        <x:v>Blue</x:v>
      </x:c>
      <x:c r="B4" s="10" t="str">
        <x:v>Assumptions / section headers</x:v>
      </x:c>
    </x:row>
    <x:row r="5" ht="15" hidden="0" customHeight="1">
      <x:c r="A5" s="21" t="str">
        <x:v>Green</x:v>
      </x:c>
      <x:c r="B5" s="10" t="str">
        <x:v>Formulas (calculated from inputs and assumptions)</x:v>
      </x:c>
    </x:row>
    <x:row r="6" ht="15" hidden="0" customHeight="1">
      <x:c r="A6" s="22" t="str">
        <x:v>Gray</x:v>
      </x:c>
      <x:c r="B6" s="10" t="str">
        <x:v>Summary outputs (final results)</x:v>
      </x:c>
    </x:row>
  </x:sheetData>
  <x:mergeCells>
    <x:mergeCell ref="A1:B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670000076293945" hidden="0" customWidth="1"/>
    <x:col min="2" max="2" width="7.78000020980835" hidden="0" customWidth="1"/>
    <x:col min="3" max="3" width="12.329999923706055" hidden="0" customWidth="1"/>
  </x:cols>
  <x:sheetData>
    <x:row r="1" ht="16.799999237060547" hidden="0" customHeight="1">
      <x:c r="A1" s="8" t="str">
        <x:v>Input Parameters</x:v>
      </x:c>
      <x:c r="B1" s="8"/>
      <x:c r="C1" s="8"/>
    </x:row>
    <x:row r="2" ht="15" hidden="0" customHeight="1">
      <x:c r="A2" s="31" t="str">
        <x:v>FC_AMT</x:v>
      </x:c>
      <x:c r="B2" s="32" t="n">
        <x:v>4500000</x:v>
      </x:c>
      <x:c r="C2" s="10" t="str">
        <x:v>EUR</x:v>
      </x:c>
    </x:row>
    <x:row r="3" ht="15" hidden="0" customHeight="1">
      <x:c r="A3" s="31" t="str">
        <x:v>S0_in</x:v>
      </x:c>
      <x:c r="B3" s="33" t="n">
        <x:v>1.1535</x:v>
      </x:c>
      <x:c r="C3" s="10" t="str">
        <x:v>USD per EUR</x:v>
      </x:c>
    </x:row>
    <x:row r="4" ht="15" hidden="0" customHeight="1">
      <x:c r="A4" s="31" t="str">
        <x:v>F0_in</x:v>
      </x:c>
      <x:c r="B4" s="33" t="n">
        <x:v>1.1738</x:v>
      </x:c>
      <x:c r="C4" s="10" t="str">
        <x:v>USD per EUR</x:v>
      </x:c>
    </x:row>
    <x:row r="5" ht="15" hidden="0" customHeight="1">
      <x:c r="A5" s="31" t="str">
        <x:v>R_USD</x:v>
      </x:c>
      <x:c r="B5" s="34" t="n">
        <x:v>0.0406</x:v>
      </x:c>
      <x:c r="C5" s="10" t="str">
        <x:v>decimal (annual)</x:v>
      </x:c>
    </x:row>
    <x:row r="6" ht="15" hidden="0" customHeight="1">
      <x:c r="A6" s="31" t="str">
        <x:v>R_FC</x:v>
      </x:c>
      <x:c r="B6" s="34" t="n">
        <x:v>0.0225</x:v>
      </x:c>
      <x:c r="C6" s="10" t="str">
        <x:v>decimal (annual)</x:v>
      </x:c>
    </x:row>
    <x:row r="7" ht="15" hidden="0" customHeight="1">
      <x:c r="A7" s="31" t="str">
        <x:v>K_PUT</x:v>
      </x:c>
      <x:c r="B7" s="33" t="n">
        <x:v>1.1535</x:v>
      </x:c>
      <x:c r="C7" s="10" t="str">
        <x:v>USD per EUR</x:v>
      </x:c>
    </x:row>
    <x:row r="8" ht="15" hidden="0" customHeight="1">
      <x:c r="A8" s="31" t="str">
        <x:v>K_CALL</x:v>
      </x:c>
      <x:c r="B8" s="33" t="n">
        <x:v>1.1535</x:v>
      </x:c>
      <x:c r="C8" s="10" t="str">
        <x:v>USD per EUR</x:v>
      </x:c>
    </x:row>
    <x:row r="9" ht="15" hidden="0" customHeight="1">
      <x:c r="A9" s="31" t="str">
        <x:v>PREM_PUT</x:v>
      </x:c>
      <x:c r="B9" s="33" t="n">
        <x:v>0.02</x:v>
      </x:c>
      <x:c r="C9" s="10" t="str">
        <x:v>USD per EUR</x:v>
      </x:c>
    </x:row>
    <x:row r="10" ht="15" hidden="0" customHeight="1">
      <x:c r="A10" s="31" t="str">
        <x:v>PREM_CALL</x:v>
      </x:c>
      <x:c r="B10" s="33" t="n">
        <x:v>0.02</x:v>
      </x:c>
      <x:c r="C10" s="10" t="str">
        <x:v>USD per EUR</x:v>
      </x:c>
    </x:row>
    <x:row r="11" ht="15" hidden="0" customHeight="1">
      <x:c r="A11" s="31" t="str">
        <x:v>T_DAYS</x:v>
      </x:c>
      <x:c r="B11" s="32" t="n">
        <x:v>358</x:v>
      </x:c>
      <x:c r="C11" s="10" t="str">
        <x:v>days</x:v>
      </x:c>
    </x:row>
  </x:sheetData>
  <x:mergeCells>
    <x:mergeCell ref="A1:C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780000686645508" hidden="0" customWidth="1"/>
    <x:col min="2" max="2" width="8.670000076293945" hidden="0" customWidth="1"/>
  </x:cols>
  <x:sheetData>
    <x:row r="1" ht="16.799999237060547" hidden="0" customHeight="1">
      <x:c r="A1" s="4" t="str">
        <x:v>Forward Contract Analysis</x:v>
      </x:c>
      <x:c r="B1" s="4"/>
    </x:row>
    <x:row r="2"/>
    <x:row r="3" ht="15" hidden="0" customHeight="1">
      <x:c r="A3" s="7" t="str">
        <x:v>Forward Rate (F0_in)</x:v>
      </x:c>
      <x:c r="B3" s="39" t="n">
        <x:f>F0_in</x:f>
        <x:v>1.1738</x:v>
      </x:c>
    </x:row>
    <x:row r="4" ht="15" hidden="0" customHeight="1">
      <x:c r="A4" s="7" t="str">
        <x:v>FC Amount (FC_AMT)</x:v>
      </x:c>
      <x:c r="B4" s="40" t="n">
        <x:f>FC_AMT</x:f>
        <x:v>4500000</x:v>
      </x:c>
    </x:row>
    <x:row r="5" ht="15" hidden="0" customHeight="1">
      <x:c r="A5" s="7"/>
      <x:c r="B5" s="41"/>
    </x:row>
    <x:row r="6" ht="15" hidden="0" customHeight="1">
      <x:c r="A6" s="7" t="str">
        <x:v>Forward Proceeds (USD)</x:v>
      </x:c>
      <x:c r="B6" s="42" t="n">
        <x:f>FC_AMT*F0_in</x:f>
        <x:v>5282100</x:v>
      </x:c>
    </x:row>
  </x:sheetData>
  <x:mergeCells>
    <x:mergeCell ref="A1:B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.780000686645508" hidden="0" customWidth="1"/>
    <x:col min="2" max="2" width="49.439998626708984" hidden="0" customWidth="1"/>
  </x:cols>
  <x:sheetData>
    <x:row r="1" ht="16.799999237060547" hidden="0" customHeight="1">
      <x:c r="A1" s="4" t="str">
        <x:v>Money-Market Hedge Analysis</x:v>
      </x:c>
      <x:c r="B1" s="4"/>
      <x:c r="C1" s="4"/>
    </x:row>
    <x:row r="2"/>
    <x:row r="3" ht="15" hidden="0" customHeight="1">
      <x:c r="A3" s="27" t="str">
        <x:v>Step 1: Borrow EUR</x:v>
      </x:c>
      <x:c r="B3" s="7"/>
      <x:c r="C3" s="7"/>
    </x:row>
    <x:row r="4" ht="15" hidden="0" customHeight="1">
      <x:c r="A4" s="27" t="str">
        <x:v>Formula</x:v>
      </x:c>
      <x:c r="B4" s="7" t="str">
        <x:v>MM_BORROW = FC_AMT / (1 + R_FC × T_DAYS / 360)</x:v>
      </x:c>
      <x:c r="C4" s="7"/>
    </x:row>
    <x:row r="5" ht="15" hidden="0" customHeight="1">
      <x:c r="A5" s="27" t="str">
        <x:v>MM_BORROW (EUR)</x:v>
      </x:c>
      <x:c r="B5" s="40" t="n">
        <x:f>FC_AMT/(1+R_FC*T_DAYS/360)</x:f>
        <x:v>4401516.077760117</x:v>
      </x:c>
      <x:c r="C5" s="7"/>
    </x:row>
    <x:row r="6" ht="15" hidden="0" customHeight="1">
      <x:c r="A6" s="27"/>
      <x:c r="B6" s="40"/>
      <x:c r="C6" s="7"/>
    </x:row>
    <x:row r="7" ht="15" hidden="0" customHeight="1">
      <x:c r="A7" s="27" t="str">
        <x:v>Step 2: Convert at Spot</x:v>
      </x:c>
      <x:c r="B7" s="40"/>
      <x:c r="C7" s="7"/>
    </x:row>
    <x:row r="8" ht="15" hidden="0" customHeight="1">
      <x:c r="A8" s="27" t="str">
        <x:v>Formula</x:v>
      </x:c>
      <x:c r="B8" s="40" t="str">
        <x:v>MM_USD_NOW = MM_BORROW × S0_in</x:v>
      </x:c>
      <x:c r="C8" s="7"/>
    </x:row>
    <x:row r="9" ht="15" hidden="0" customHeight="1">
      <x:c r="A9" s="27" t="str">
        <x:v>MM_USD_NOW (USD)</x:v>
      </x:c>
      <x:c r="B9" s="40" t="n">
        <x:f>B5*S0_in</x:f>
        <x:v>5077148.795696295</x:v>
      </x:c>
      <x:c r="C9" s="7"/>
    </x:row>
    <x:row r="10" ht="15" hidden="0" customHeight="1">
      <x:c r="A10" s="27"/>
      <x:c r="B10" s="41"/>
      <x:c r="C10" s="7"/>
    </x:row>
    <x:row r="11" ht="15" hidden="0" customHeight="1">
      <x:c r="A11" s="27" t="str">
        <x:v>Step 3: Invest USD</x:v>
      </x:c>
      <x:c r="B11" s="41"/>
      <x:c r="C11" s="7"/>
    </x:row>
    <x:row r="12" ht="15" hidden="0" customHeight="1">
      <x:c r="A12" s="27" t="str">
        <x:v>Formula</x:v>
      </x:c>
      <x:c r="B12" s="41" t="str">
        <x:v>MM_PROCEEDS = MM_USD_NOW × (1 + R_USD × T_DAYS / 360)</x:v>
      </x:c>
      <x:c r="C12" s="7"/>
    </x:row>
    <x:row r="13" ht="15" hidden="0" customHeight="1">
      <x:c r="A13" s="27" t="str">
        <x:v>MM_PROCEEDS (USD)</x:v>
      </x:c>
      <x:c r="B13" s="42" t="n">
        <x:f>B9*(1+R_USD*T_DAYS/360)</x:f>
        <x:v>5282135.857684313</x:v>
      </x:c>
      <x:c r="C13" s="7"/>
    </x:row>
  </x:sheetData>
  <x:mergeCells>
    <x:mergeCell ref="A1:C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.440000534057617" hidden="0" customWidth="1"/>
    <x:col min="2" max="2" width="8.670000076293945" hidden="0" customWidth="1"/>
  </x:cols>
  <x:sheetData>
    <x:row r="1" ht="16.799999237060547" hidden="0" customHeight="1">
      <x:c r="A1" s="4" t="str">
        <x:v>Option Analysis</x:v>
      </x:c>
      <x:c r="B1" s="4"/>
    </x:row>
    <x:row r="2"/>
    <x:row r="3" ht="15" hidden="0" customHeight="1">
      <x:c r="A3" s="27" t="str">
        <x:v>EUR Receivable Put at S0_in</x:v>
      </x:c>
      <x:c r="B3" s="7"/>
    </x:row>
    <x:row r="4" ht="15" hidden="0" customHeight="1">
      <x:c r="A4" s="27" t="str">
        <x:v>Put Gross Proceeds (USD)</x:v>
      </x:c>
      <x:c r="B4" s="40" t="n">
        <x:f>FC_AMT*MAX(S0_in,K_PUT)</x:f>
        <x:v>5190750</x:v>
      </x:c>
    </x:row>
    <x:row r="5" ht="15" hidden="0" customHeight="1">
      <x:c r="A5" s="27" t="str">
        <x:v>Put Premium Cost (USD)</x:v>
      </x:c>
      <x:c r="B5" s="40" t="n">
        <x:f>FC_AMT*PREM_PUT</x:f>
        <x:v>90000</x:v>
      </x:c>
    </x:row>
    <x:row r="6" ht="15" hidden="0" customHeight="1">
      <x:c r="A6" s="27" t="str">
        <x:v>Put Net Proceeds (USD)</x:v>
      </x:c>
      <x:c r="B6" s="42" t="n">
        <x:f>B4-B5</x:f>
        <x:v>5100750</x:v>
      </x:c>
    </x:row>
    <x:row r="7" ht="15" hidden="0" customHeight="1">
      <x:c r="A7" s="27"/>
      <x:c r="B7" s="41"/>
    </x:row>
    <x:row r="8" ht="15" hidden="0" customHeight="1">
      <x:c r="A8" s="27" t="str">
        <x:v>EUR Payable Call Reference Only</x:v>
      </x:c>
      <x:c r="B8" s="41"/>
    </x:row>
    <x:row r="9" ht="15" hidden="0" customHeight="1">
      <x:c r="A9" s="27" t="str">
        <x:v>Call Payoff (USD)</x:v>
      </x:c>
      <x:c r="B9" s="40" t="n">
        <x:f>FC_AMT*MAX(S0_in-K_CALL,0)</x:f>
        <x:v>0</x:v>
      </x:c>
    </x:row>
    <x:row r="10" ht="15" hidden="0" customHeight="1">
      <x:c r="A10" s="27" t="str">
        <x:v>Call Hedged Cost (USD)</x:v>
      </x:c>
      <x:c r="B10" s="42" t="n">
        <x:f>FC_AMT*S0_in-B9+FC_AMT*PREM_CALL</x:f>
        <x:v>5280750</x:v>
      </x:c>
    </x:row>
    <x:row r="11" ht="15" hidden="0" customHeight="1">
      <x:c r="A11" s="27" t="str">
        <x:v>Not used in receivable recommendation</x:v>
      </x:c>
      <x:c r="B11" s="7"/>
    </x:row>
  </x:sheetData>
  <x:mergeCells>
    <x:mergeCell ref="A1:B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7.11000061035156" hidden="0" customWidth="1"/>
    <x:col min="2" max="2" width="5.440000057220459" hidden="0" customWidth="1"/>
    <x:col min="3" max="3" width="8.670000076293945" hidden="0" customWidth="1"/>
    <x:col min="4" max="4" width="8.670000076293945" hidden="0" customWidth="1"/>
    <x:col min="5" max="5" width="11.670000076293945" hidden="0" customWidth="1"/>
    <x:col min="6" max="6" width="8.670000076293945" hidden="0" customWidth="1"/>
  </x:cols>
  <x:sheetData>
    <x:row r="1" ht="16.799999237060547" hidden="0" customHeight="1">
      <x:c r="A1" s="4" t="str">
        <x:v>Sensitivity: Net USD Proceeds by EUR/USD at Settlement</x:v>
      </x:c>
      <x:c r="B1" s="4"/>
      <x:c r="C1" s="4"/>
      <x:c r="D1" s="4"/>
      <x:c r="E1" s="4"/>
      <x:c r="F1" s="4"/>
    </x:row>
    <x:row r="2" ht="15" hidden="0" customHeight="1">
      <x:c r="A2" s="6" t="str">
        <x:v>pct_change</x:v>
      </x:c>
      <x:c r="B2" s="6" t="str">
        <x:v>S_T</x:v>
      </x:c>
      <x:c r="C2" s="6" t="str">
        <x:v>No Hedge</x:v>
      </x:c>
      <x:c r="D2" s="6" t="str">
        <x:v>Forward</x:v>
      </x:c>
      <x:c r="E2" s="6" t="str">
        <x:v>Money Market</x:v>
      </x:c>
      <x:c r="F2" s="6" t="str">
        <x:v>Put</x:v>
      </x:c>
    </x:row>
    <x:row r="3" ht="15" hidden="0" customHeight="1">
      <x:c r="A3" s="45" t="n">
        <x:v>-0.05</x:v>
      </x:c>
      <x:c r="B3" s="39" t="n">
        <x:f>ROUND(S0_in*(1+A3),3)</x:f>
        <x:v>1.096</x:v>
      </x:c>
      <x:c r="C3" s="40" t="n">
        <x:f>FC_AMT*B3</x:f>
        <x:v>4932000</x:v>
      </x:c>
      <x:c r="D3" s="40" t="n">
        <x:f>FORW_PROCEEDS</x:f>
        <x:v>5282100</x:v>
      </x:c>
      <x:c r="E3" s="40" t="n">
        <x:f>MM_PROCEEDS</x:f>
        <x:v>5282135.857684313</x:v>
      </x:c>
      <x:c r="F3" s="40" t="n">
        <x:f>FC_AMT*MAX(B3,K_PUT)-FC_AMT*PREM_PUT</x:f>
        <x:v>5100750</x:v>
      </x:c>
    </x:row>
    <x:row r="4" ht="15" hidden="0" customHeight="1">
      <x:c r="A4" s="45" t="n">
        <x:v>-0.04</x:v>
      </x:c>
      <x:c r="B4" s="39" t="n">
        <x:f>ROUND(S0_in*(1+A4),3)</x:f>
        <x:v>1.107</x:v>
      </x:c>
      <x:c r="C4" s="40" t="n">
        <x:f>FC_AMT*B4</x:f>
        <x:v>4981500</x:v>
      </x:c>
      <x:c r="D4" s="40" t="n">
        <x:f>FORW_PROCEEDS</x:f>
        <x:v>5282100</x:v>
      </x:c>
      <x:c r="E4" s="40" t="n">
        <x:f>MM_PROCEEDS</x:f>
        <x:v>5282135.857684313</x:v>
      </x:c>
      <x:c r="F4" s="40" t="n">
        <x:f>FC_AMT*MAX(B4,K_PUT)-FC_AMT*PREM_PUT</x:f>
        <x:v>5100750</x:v>
      </x:c>
    </x:row>
    <x:row r="5" ht="15" hidden="0" customHeight="1">
      <x:c r="A5" s="45" t="n">
        <x:v>-0.03</x:v>
      </x:c>
      <x:c r="B5" s="39" t="n">
        <x:f>ROUND(S0_in*(1+A5),3)</x:f>
        <x:v>1.119</x:v>
      </x:c>
      <x:c r="C5" s="40" t="n">
        <x:f>FC_AMT*B5</x:f>
        <x:v>5035500</x:v>
      </x:c>
      <x:c r="D5" s="40" t="n">
        <x:f>FORW_PROCEEDS</x:f>
        <x:v>5282100</x:v>
      </x:c>
      <x:c r="E5" s="40" t="n">
        <x:f>MM_PROCEEDS</x:f>
        <x:v>5282135.857684313</x:v>
      </x:c>
      <x:c r="F5" s="40" t="n">
        <x:f>FC_AMT*MAX(B5,K_PUT)-FC_AMT*PREM_PUT</x:f>
        <x:v>5100750</x:v>
      </x:c>
    </x:row>
    <x:row r="6" ht="15" hidden="0" customHeight="1">
      <x:c r="A6" s="45" t="n">
        <x:v>-0.02</x:v>
      </x:c>
      <x:c r="B6" s="39" t="n">
        <x:f>ROUND(S0_in*(1+A6),3)</x:f>
        <x:v>1.13</x:v>
      </x:c>
      <x:c r="C6" s="40" t="n">
        <x:f>FC_AMT*B6</x:f>
        <x:v>5084999.999999999</x:v>
      </x:c>
      <x:c r="D6" s="40" t="n">
        <x:f>FORW_PROCEEDS</x:f>
        <x:v>5282100</x:v>
      </x:c>
      <x:c r="E6" s="40" t="n">
        <x:f>MM_PROCEEDS</x:f>
        <x:v>5282135.857684313</x:v>
      </x:c>
      <x:c r="F6" s="40" t="n">
        <x:f>FC_AMT*MAX(B6,K_PUT)-FC_AMT*PREM_PUT</x:f>
        <x:v>5100750</x:v>
      </x:c>
    </x:row>
    <x:row r="7" ht="15" hidden="0" customHeight="1">
      <x:c r="A7" s="45" t="n">
        <x:v>-0.01</x:v>
      </x:c>
      <x:c r="B7" s="39" t="n">
        <x:f>ROUND(S0_in*(1+A7),3)</x:f>
        <x:v>1.142</x:v>
      </x:c>
      <x:c r="C7" s="40" t="n">
        <x:f>FC_AMT*B7</x:f>
        <x:v>5139000</x:v>
      </x:c>
      <x:c r="D7" s="40" t="n">
        <x:f>FORW_PROCEEDS</x:f>
        <x:v>5282100</x:v>
      </x:c>
      <x:c r="E7" s="40" t="n">
        <x:f>MM_PROCEEDS</x:f>
        <x:v>5282135.857684313</x:v>
      </x:c>
      <x:c r="F7" s="40" t="n">
        <x:f>FC_AMT*MAX(B7,K_PUT)-FC_AMT*PREM_PUT</x:f>
        <x:v>5100750</x:v>
      </x:c>
    </x:row>
    <x:row r="8" ht="15" hidden="0" customHeight="1">
      <x:c r="A8" s="45" t="n">
        <x:v>0</x:v>
      </x:c>
      <x:c r="B8" s="39" t="n">
        <x:f>ROUND(S0_in*(1+A8),3)</x:f>
        <x:v>1.154</x:v>
      </x:c>
      <x:c r="C8" s="40" t="n">
        <x:f>FC_AMT*B8</x:f>
        <x:v>5193000</x:v>
      </x:c>
      <x:c r="D8" s="40" t="n">
        <x:f>FORW_PROCEEDS</x:f>
        <x:v>5282100</x:v>
      </x:c>
      <x:c r="E8" s="40" t="n">
        <x:f>MM_PROCEEDS</x:f>
        <x:v>5282135.857684313</x:v>
      </x:c>
      <x:c r="F8" s="40" t="n">
        <x:f>FC_AMT*MAX(B8,K_PUT)-FC_AMT*PREM_PUT</x:f>
        <x:v>5103000</x:v>
      </x:c>
    </x:row>
    <x:row r="9" ht="15" hidden="0" customHeight="1">
      <x:c r="A9" s="45" t="n">
        <x:v>0.01</x:v>
      </x:c>
      <x:c r="B9" s="39" t="n">
        <x:f>ROUND(S0_in*(1+A9),3)</x:f>
        <x:v>1.165</x:v>
      </x:c>
      <x:c r="C9" s="40" t="n">
        <x:f>FC_AMT*B9</x:f>
        <x:v>5242500</x:v>
      </x:c>
      <x:c r="D9" s="40" t="n">
        <x:f>FORW_PROCEEDS</x:f>
        <x:v>5282100</x:v>
      </x:c>
      <x:c r="E9" s="40" t="n">
        <x:f>MM_PROCEEDS</x:f>
        <x:v>5282135.857684313</x:v>
      </x:c>
      <x:c r="F9" s="40" t="n">
        <x:f>FC_AMT*MAX(B9,K_PUT)-FC_AMT*PREM_PUT</x:f>
        <x:v>5152500</x:v>
      </x:c>
    </x:row>
    <x:row r="10" ht="15" hidden="0" customHeight="1">
      <x:c r="A10" s="45" t="n">
        <x:v>0.02</x:v>
      </x:c>
      <x:c r="B10" s="39" t="n">
        <x:f>ROUND(S0_in*(1+A10),3)</x:f>
        <x:v>1.177</x:v>
      </x:c>
      <x:c r="C10" s="40" t="n">
        <x:f>FC_AMT*B10</x:f>
        <x:v>5296500</x:v>
      </x:c>
      <x:c r="D10" s="40" t="n">
        <x:f>FORW_PROCEEDS</x:f>
        <x:v>5282100</x:v>
      </x:c>
      <x:c r="E10" s="40" t="n">
        <x:f>MM_PROCEEDS</x:f>
        <x:v>5282135.857684313</x:v>
      </x:c>
      <x:c r="F10" s="40" t="n">
        <x:f>FC_AMT*MAX(B10,K_PUT)-FC_AMT*PREM_PUT</x:f>
        <x:v>5206500</x:v>
      </x:c>
    </x:row>
    <x:row r="11" ht="15" hidden="0" customHeight="1">
      <x:c r="A11" s="45" t="n">
        <x:v>0.03</x:v>
      </x:c>
      <x:c r="B11" s="39" t="n">
        <x:f>ROUND(S0_in*(1+A11),3)</x:f>
        <x:v>1.188</x:v>
      </x:c>
      <x:c r="C11" s="40" t="n">
        <x:f>FC_AMT*B11</x:f>
        <x:v>5346000</x:v>
      </x:c>
      <x:c r="D11" s="40" t="n">
        <x:f>FORW_PROCEEDS</x:f>
        <x:v>5282100</x:v>
      </x:c>
      <x:c r="E11" s="40" t="n">
        <x:f>MM_PROCEEDS</x:f>
        <x:v>5282135.857684313</x:v>
      </x:c>
      <x:c r="F11" s="40" t="n">
        <x:f>FC_AMT*MAX(B11,K_PUT)-FC_AMT*PREM_PUT</x:f>
        <x:v>5256000</x:v>
      </x:c>
    </x:row>
    <x:row r="12" ht="15" hidden="0" customHeight="1">
      <x:c r="A12" s="45" t="n">
        <x:v>0.04</x:v>
      </x:c>
      <x:c r="B12" s="39" t="n">
        <x:f>ROUND(S0_in*(1+A12),3)</x:f>
        <x:v>1.2</x:v>
      </x:c>
      <x:c r="C12" s="40" t="n">
        <x:f>FC_AMT*B12</x:f>
        <x:v>5400000</x:v>
      </x:c>
      <x:c r="D12" s="40" t="n">
        <x:f>FORW_PROCEEDS</x:f>
        <x:v>5282100</x:v>
      </x:c>
      <x:c r="E12" s="40" t="n">
        <x:f>MM_PROCEEDS</x:f>
        <x:v>5282135.857684313</x:v>
      </x:c>
      <x:c r="F12" s="40" t="n">
        <x:f>FC_AMT*MAX(B12,K_PUT)-FC_AMT*PREM_PUT</x:f>
        <x:v>5310000</x:v>
      </x:c>
    </x:row>
    <x:row r="13" ht="15" hidden="0" customHeight="1">
      <x:c r="A13" s="45" t="n">
        <x:v>0.05</x:v>
      </x:c>
      <x:c r="B13" s="39" t="n">
        <x:f>ROUND(S0_in*(1+A13),3)</x:f>
        <x:v>1.211</x:v>
      </x:c>
      <x:c r="C13" s="40" t="n">
        <x:f>FC_AMT*B13</x:f>
        <x:v>5449500</x:v>
      </x:c>
      <x:c r="D13" s="40" t="n">
        <x:f>FORW_PROCEEDS</x:f>
        <x:v>5282100</x:v>
      </x:c>
      <x:c r="E13" s="40" t="n">
        <x:f>MM_PROCEEDS</x:f>
        <x:v>5282135.857684313</x:v>
      </x:c>
      <x:c r="F13" s="40" t="n">
        <x:f>FC_AMT*MAX(B13,K_PUT)-FC_AMT*PREM_PUT</x:f>
        <x:v>5359500</x:v>
      </x:c>
    </x:row>
  </x:sheetData>
  <x:mergeCells>
    <x:mergeCell ref="A1:F1"/>
  </x:mergeCells>
  <x:pageMargins left="0.7" right="0.7" top="0.75" bottom="0.75" header="0.3" footer="0.3"/>
  <x:drawing xmlns:r="http://schemas.openxmlformats.org/officeDocument/2006/relationships" r:id="R4d70a8a1028f4717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.780000686645508" hidden="0" customWidth="1"/>
    <x:col min="2" max="2" width="13.5600004196167" hidden="0" customWidth="1"/>
    <x:col min="3" max="3" width="5.440000057220459" hidden="0" customWidth="1"/>
  </x:cols>
  <x:sheetData>
    <x:row r="1" ht="16.799999237060547" hidden="0" customHeight="1">
      <x:c r="A1" s="4" t="str">
        <x:v>Validation Checks</x:v>
      </x:c>
      <x:c r="B1" s="4"/>
      <x:c r="C1" s="4"/>
    </x:row>
    <x:row r="2"/>
    <x:row r="3" ht="15" hidden="0" customHeight="1">
      <x:c r="A3" s="6" t="str">
        <x:v>Check</x:v>
      </x:c>
      <x:c r="B3" s="6" t="str">
        <x:v>Actual</x:v>
      </x:c>
      <x:c r="C3" s="6" t="str">
        <x:v>Status</x:v>
      </x:c>
    </x:row>
    <x:row r="4" ht="15" hidden="0" customHeight="1">
      <x:c r="A4" s="7" t="str">
        <x:v>Implied Forward Rate</x:v>
      </x:c>
      <x:c r="B4" s="39" t="n">
        <x:f>S0_in*(1+R_USD*T_DAYS/360)/(1+R_FC*T_DAYS/360)</x:f>
        <x:v>1.173807968374292</x:v>
      </x:c>
      <x:c r="C4" s="7"/>
    </x:row>
    <x:row r="5" ht="15" hidden="0" customHeight="1">
      <x:c r="A5" s="7" t="str">
        <x:v>Parity Rate Difference (USD/EUR)</x:v>
      </x:c>
      <x:c r="B5" s="39" t="n">
        <x:f>F0_in-B4</x:f>
        <x:v>-0.000007968374291955627</x:v>
      </x:c>
      <x:c r="C5" s="7"/>
    </x:row>
    <x:row r="6" ht="15" hidden="0" customHeight="1">
      <x:c r="A6" s="7" t="str">
        <x:v>CHECK_TOLERANCE (USD/EUR)</x:v>
      </x:c>
      <x:c r="B6" s="39" t="n">
        <x:v>0.0001</x:v>
      </x:c>
      <x:c r="C6" s="7"/>
    </x:row>
    <x:row r="7" ht="15" hidden="0" customHeight="1">
      <x:c r="A7" s="7" t="str">
        <x:v>Parity Check</x:v>
      </x:c>
      <x:c r="B7" s="18" t="str">
        <x:f>IF(ABS(B5)&lt;=B6,"PASS","FAIL")</x:f>
        <x:v>PASS</x:v>
      </x:c>
      <x:c r="C7" s="7"/>
    </x:row>
    <x:row r="8" ht="15" hidden="0" customHeight="1">
      <x:c r="A8" s="7" t="str">
        <x:v>Forward vs MM Proceeds Difference (USD)</x:v>
      </x:c>
      <x:c r="B8" s="42" t="n">
        <x:f>FORW_PROCEEDS-MM_PROCEEDS</x:f>
        <x:v>-35.85768431331962</x:v>
      </x:c>
      <x:c r="C8" s="7"/>
    </x:row>
    <x:row r="9" ht="15" hidden="0" customHeight="1">
      <x:c r="A9" s="7" t="str">
        <x:v>Forward output formula</x:v>
      </x:c>
      <x:c r="B9" s="18" t="str">
        <x:f>IFERROR(IF(ISFORMULA(Forwards!B6),"YES","NO"),"VERIFY IN EXCEL")</x:f>
        <x:v>VERIFY IN EXCEL</x:v>
      </x:c>
      <x:c r="C9" s="7"/>
    </x:row>
    <x:row r="10" ht="15" hidden="0" customHeight="1">
      <x:c r="A10" s="7" t="str">
        <x:v>Money-market output formula</x:v>
      </x:c>
      <x:c r="B10" s="18" t="str">
        <x:f>IFERROR(IF(ISFORMULA(MoneyMarket!B13),"YES","NO"),"VERIFY IN EXCEL")</x:f>
        <x:v>VERIFY IN EXCEL</x:v>
      </x:c>
      <x:c r="C10" s="7"/>
    </x:row>
    <x:row r="11" ht="15" hidden="0" customHeight="1">
      <x:c r="A11" s="7" t="str">
        <x:v>Put output formula</x:v>
      </x:c>
      <x:c r="B11" s="18" t="str">
        <x:f>IFERROR(IF(ISFORMULA(Options!B6),"YES","NO"),"VERIFY IN EXCEL")</x:f>
        <x:v>VERIFY IN EXCEL</x:v>
      </x:c>
      <x:c r="C11" s="7"/>
    </x:row>
    <x:row r="12" ht="15" hidden="0" customHeight="1">
      <x:c r="A12" s="7" t="str">
        <x:v>Model Status</x:v>
      </x:c>
      <x:c r="B12" s="18" t="str">
        <x:f>IF(B7="PASS","PASS","FAIL")</x:f>
        <x:v>PASS</x:v>
      </x:c>
      <x:c r="C12" s="7"/>
    </x:row>
  </x:sheetData>
  <x:mergeCells>
    <x:mergeCell ref="A1:C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.220001220703125" hidden="0" customWidth="1"/>
    <x:col min="2" max="2" width="35.779998779296875" hidden="0" customWidth="1"/>
    <x:col min="3" max="3" width="11.779999732971191" hidden="0" customWidth="1"/>
    <x:col min="4" max="4" width="31.780000686645508" hidden="0" customWidth="1"/>
  </x:cols>
  <x:sheetData>
    <x:row r="1" ht="16.799999237060547" hidden="0" customHeight="1">
      <x:c r="A1" s="8" t="str">
        <x:v>Assumptions and Data Provenance</x:v>
      </x:c>
      <x:c r="B1" s="8"/>
      <x:c r="C1" s="8"/>
      <x:c r="D1" s="8"/>
    </x:row>
    <x:row r="2" ht="15" hidden="0" customHeight="1">
      <x:c r="A2" s="9"/>
      <x:c r="B2" s="9"/>
      <x:c r="C2" s="9"/>
      <x:c r="D2" s="9"/>
    </x:row>
    <x:row r="3" ht="15" hidden="0" customHeight="1">
      <x:c r="A3" s="10" t="str">
        <x:v>Rate Basis</x:v>
      </x:c>
      <x:c r="B3" s="10" t="str">
        <x:v>ACT/360</x:v>
      </x:c>
      <x:c r="C3" s="10" t="str">
        <x:v>Status</x:v>
      </x:c>
      <x:c r="D3" s="10" t="str">
        <x:v>Placeholder</x:v>
      </x:c>
    </x:row>
    <x:row r="4" ht="15" hidden="0" customHeight="1">
      <x:c r="A4" s="10" t="str">
        <x:v>Interest Compounding</x:v>
      </x:c>
      <x:c r="B4" s="10" t="str">
        <x:v>Simple interest over T_DAYS/360</x:v>
      </x:c>
      <x:c r="C4" s="10" t="str">
        <x:v>Status</x:v>
      </x:c>
      <x:c r="D4" s="10" t="str">
        <x:v>Model assumption</x:v>
      </x:c>
    </x:row>
    <x:row r="5" ht="15" hidden="0" customHeight="1">
      <x:c r="A5" s="10" t="str">
        <x:v>Premium Treatment</x:v>
      </x:c>
      <x:c r="B5" s="10" t="str">
        <x:v>Upfront USD cash cost deducted from proceeds</x:v>
      </x:c>
      <x:c r="C5" s="10" t="str">
        <x:v>Status</x:v>
      </x:c>
      <x:c r="D5" s="10" t="str">
        <x:v>Model assumption</x:v>
      </x:c>
    </x:row>
    <x:row r="6" ht="15" hidden="0" customHeight="1">
      <x:c r="A6" s="10"/>
      <x:c r="B6" s="10"/>
      <x:c r="C6" s="10"/>
      <x:c r="D6" s="10"/>
    </x:row>
    <x:row r="7" ht="15" hidden="0" customHeight="1">
      <x:c r="A7" s="11" t="str">
        <x:v>Source</x:v>
      </x:c>
      <x:c r="B7" s="11" t="str">
        <x:v>Use in Stage 4</x:v>
      </x:c>
      <x:c r="C7" s="11" t="str">
        <x:v>Current Status</x:v>
      </x:c>
      <x:c r="D7" s="11" t="str">
        <x:v>Notes</x:v>
      </x:c>
    </x:row>
    <x:row r="8" ht="15" hidden="0" customHeight="1">
      <x:c r="A8" s="10" t="str">
        <x:v>Spot / EUR rate</x:v>
      </x:c>
      <x:c r="B8" s="10" t="str">
        <x:v>ECB</x:v>
      </x:c>
      <x:c r="C8" s="10" t="str">
        <x:v>Placeholder</x:v>
      </x:c>
      <x:c r="D8" s="10" t="str">
        <x:v>Replace with as-of-date source</x:v>
      </x:c>
    </x:row>
    <x:row r="9" ht="15" hidden="0" customHeight="1">
      <x:c r="A9" s="10" t="str">
        <x:v>USD / EUR interest rates</x:v>
      </x:c>
      <x:c r="B9" s="10" t="str">
        <x:v>Fed H.15 / ECB</x:v>
      </x:c>
      <x:c r="C9" s="10" t="str">
        <x:v>Placeholder</x:v>
      </x:c>
      <x:c r="D9" s="10" t="str">
        <x:v>Match date and ACT/360 convention</x:v>
      </x:c>
    </x:row>
    <x:row r="10" ht="15" hidden="0" customHeight="1">
      <x:c r="A10" s="10" t="str">
        <x:v>Forward rate</x:v>
      </x:c>
      <x:c r="B10" s="10" t="str">
        <x:v>Dealer / market quote</x:v>
      </x:c>
      <x:c r="C10" s="10" t="str">
        <x:v>Placeholder</x:v>
      </x:c>
      <x:c r="D10" s="10" t="str">
        <x:v>Compare to parity; document basis/spread</x:v>
      </x:c>
    </x:row>
    <x:row r="11" ht="15" hidden="0" customHeight="1">
      <x:c r="A11" s="10" t="str">
        <x:v>Option premiums</x:v>
      </x:c>
      <x:c r="B11" s="10" t="str">
        <x:v>Vendor / OTC broker</x:v>
      </x:c>
      <x:c r="C11" s="10" t="str">
        <x:v>Placeholder</x:v>
      </x:c>
      <x:c r="D11" s="10" t="str">
        <x:v>Record tenor, strike, and premium</x:v>
      </x:c>
    </x:row>
    <x:row r="12" ht="52.79999923706055" hidden="0" customHeight="1">
      <x:c r="A12" s="49" t="str">
        <x:v>Put strike risk tolerance</x:v>
      </x:c>
      <x:c r="B12" s="48" t="str">
        <x:v>K_PUT = 1.00 protects a $4.41M net floor after premium</x:v>
      </x:c>
      <x:c r="C12" s="48" t="str">
        <x:v>Decision required</x:v>
      </x:c>
      <x:c r="D12" s="48" t="str">
        <x:v>This accepts a $0.10/EUR decline from spot before the floor binds; set the strike based on the USD floor the business requires.</x:v>
      </x:c>
    </x:row>
  </x:sheetData>
  <x:mergeCells>
    <x:mergeCell ref="A1:D1"/>
  </x:mergeCells>
  <x:pageMargins left="0.7" right="0.7" top="0.75" bottom="0.75" header="0.3" footer="0.3"/>
</x:worksheet>
</file>